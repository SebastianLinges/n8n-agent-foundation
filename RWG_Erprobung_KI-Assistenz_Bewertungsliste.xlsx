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28680" yWindow="-120" windowWidth="29040" windowHeight="15720" activeTab="2"/>
  </bookViews>
  <sheets>
    <sheet sheetId="1" name="Anleitung" state="visible" r:id="rId4"/>
    <sheet sheetId="2" name="Pflichtthemen" state="visible" r:id="rId5"/>
    <sheet sheetId="3" name="Eigene Tests" state="visible" r:id="rId6"/>
    <sheet sheetId="4" name="Auswertung" state="visible" r:id="rId7"/>
  </sheets>
  <calcPr calcId="171027"/>
</workbook>
</file>

<file path=xl/sharedStrings.xml><?xml version="1.0" encoding="utf-8"?>
<sst xmlns="http://schemas.openxmlformats.org/spreadsheetml/2006/main" count="221" uniqueCount="172">
  <si>
    <t>Erprobung KI-Assistenz – Bewertungsliste</t>
  </si>
  <si>
    <t>DEV-179 · Strukturierte Erprobung durch das IT-Team</t>
  </si>
  <si>
    <t>Worum es geht</t>
  </si>
  <si>
    <t>Die KI-Assistenz der RWG soll vor der Ausweitung auf weitere Personen von fremden Händen geprüft werden. Wer eine Lösung gebaut hat, stellt unbewusst die Fragen, die sie beantworten kann. Deine Aufgabe ist es, die Fragen zu stellen, die im Alltag wirklich vorkommen.</t>
  </si>
  <si>
    <t>Was du tust</t>
  </si>
  <si>
    <t xml:space="preserve">1. Blatt „Pflichtthemen“ durcharbeiten – die Fälle sind vorgegeben, die konkrete Frage formulierst du selbst.
2. Blatt „Eigene Tests“ mit allem füllen, was dir sonst einfällt. Gerade hier liegt der Wert.
3. Gelb hinterlegte Spalten ausfüllen. Alles andere ist vorgegeben und bleibt unverändert.</t>
  </si>
  <si>
    <t>Prüfreihenfolge</t>
  </si>
  <si>
    <t>Bewerte jede Antwort in dieser Reihenfolge. Sobald eine Stufe verletzt ist, hältst du diese Stufe fest und bewertest die weiteren nicht mehr – die erste Verletzung entscheidet.</t>
  </si>
  <si>
    <t>1  Zulässigkeit</t>
  </si>
  <si>
    <t>Wurde etwas ausgegeben, das ich nicht sehen dürfte? Interne Notizen, fremde Vorgänge, technische Interna, Zugangsdaten. Verletzung hier ist immer blockierend.</t>
  </si>
  <si>
    <t>2  Richtigkeit</t>
  </si>
  <si>
    <t>Stimmt die Auskunft sachlich? Eine erfundene oder falsche Antwort ist blockierend, auch wenn sie plausibel klingt.</t>
  </si>
  <si>
    <t>3  Nachvollziehbarkeit</t>
  </si>
  <si>
    <t>Ist erkennbar, worauf sich die Antwort stützt? Quelle, Dokument, Vorgang. Links müssen funktionieren.</t>
  </si>
  <si>
    <t>4  Vollständigkeit</t>
  </si>
  <si>
    <t>Ist die Frage beantwortet oder nur angerissen? Wurden bei mehreren Treffern alle relevanten genannt?</t>
  </si>
  <si>
    <t>5  Verständlichkeit</t>
  </si>
  <si>
    <t>Ist die Antwort ohne Vorwissen brauchbar? Ton angemessen, keine internen Fachbegriffe, keine Textwand.</t>
  </si>
  <si>
    <t>6  Antwortzeit</t>
  </si>
  <si>
    <t>Kam die Antwort in einer Zeit, die man im Gespräch akzeptiert?</t>
  </si>
  <si>
    <t>Einstufung</t>
  </si>
  <si>
    <t>Ordne jede Abweichung einer der drei Stufen zu:</t>
  </si>
  <si>
    <t>blockierend</t>
  </si>
  <si>
    <t>Falsche, unzulässige oder irreführende Auskunft. Muss vor der Ausweitung behoben sein. Bitte zusätzlich sofort melden, nicht erst am Ende.</t>
  </si>
  <si>
    <t>störend</t>
  </si>
  <si>
    <t>Antwort unbrauchbar, aber als solche erkennbar. Niemand wird in die Irre geführt.</t>
  </si>
  <si>
    <t>kosmetisch</t>
  </si>
  <si>
    <t>Formulierung, Darstellung, Ton. Ärgerlich, aber folgenlos.</t>
  </si>
  <si>
    <t>Wichtig</t>
  </si>
  <si>
    <t>Eine fehlende Antwort ist nicht automatisch ein Fehler. Wenn zu einem Thema schlicht nichts dokumentiert ist, ist „dazu liegt nichts vor“ das richtige Verhalten – halte es als „Wissenslücke“ fest, nicht als Fehler. Der Unterschied entscheidet, ob die Technik oder die Dokumentation nachgebessert wird.</t>
  </si>
  <si>
    <t>Rückgabe</t>
  </si>
  <si>
    <t>Datei bis zum vereinbarten Termin zurück an Sebastian Linges. Blockierende Befunde bitte sofort melden.</t>
  </si>
  <si>
    <t>Pflichtthemen</t>
  </si>
  <si>
    <t>Alle Zeilen sind zu bearbeiten. Die konkrete Frage formulierst du selbst – gelbe Spalten ausfüllen.</t>
  </si>
  <si>
    <t>Beispiel: „Wie richte ich den VPN-Zugang auf dem Diensthandy ein?“</t>
  </si>
  <si>
    <t>ID</t>
  </si>
  <si>
    <t>Bereich</t>
  </si>
  <si>
    <t>Was zu prüfen ist</t>
  </si>
  <si>
    <t>Erwartetes Verhalten</t>
  </si>
  <si>
    <t>Deine Frage im Wortlaut</t>
  </si>
  <si>
    <t>Datum</t>
  </si>
  <si>
    <t>Ergebnis</t>
  </si>
  <si>
    <t>Erste verletzte Stufe</t>
  </si>
  <si>
    <t>Beobachtung / was war falsch</t>
  </si>
  <si>
    <t>T01</t>
  </si>
  <si>
    <t>Teams-Chat</t>
  </si>
  <si>
    <t>Anleitung erfragen, die in Confluence dokumentiert ist – in Alltagssprache, nicht mit dem Titel der Seite</t>
  </si>
  <si>
    <t>Findet die Anleitung und gibt die wesentlichen Schritte wieder, mit Quellenangabe</t>
  </si>
  <si>
    <t>moin, wie krieg ich die odbc verbindung zum sql hub auf meinen rechner?</t>
  </si>
  <si>
    <t>28.08.2026</t>
  </si>
  <si>
    <t>in Ordnung</t>
  </si>
  <si>
    <t/>
  </si>
  <si>
    <t>Nachtest auf gpt-5.4, Lauf 109365, 19 s (vorher 32 s mit gpt-4o). Jetzt sieben statt drei Schritte, und die Ziel-Datenbank RWG_SQL_HUB wird ausdruecklich genannt - der Punkt, der im ersten Durchgang fehlte und den die Doku selbst als Stolperstelle fuehrt. Werte woertlich korrekt, Quelle verlinkt, bietet von sich aus die vollstaendige Klickfolge samt Verbindungstest an. Erster Durchgang war hier eine Abweichung auf Stufe 4.</t>
  </si>
  <si>
    <t>T02</t>
  </si>
  <si>
    <t>Frage nach einer Zuständigkeit: wer macht bei uns X</t>
  </si>
  <si>
    <t>Nennt die Zuständigkeit belegt oder sagt, dass dazu nichts vorliegt</t>
  </si>
  <si>
    <t>wer kuemmert sich bei uns eigentlich um snipe-it?</t>
  </si>
  <si>
    <t>Abweichung</t>
  </si>
  <si>
    <t>4 Vollstaendigkeit</t>
  </si>
  <si>
    <t>stoerend</t>
  </si>
  <si>
    <t>NICHT STABIL - das ist der eigentliche Befund. Drei Durchgaenge mit derselben Frage: (1) Lauf 109317 auf gpt-4o - nur Rollen, kein Name. (2) Lauf 109369 auf gpt-5.4 - weiterhin nur Rollen. (3) Lauf 109399 auf gpt-5.4 - diesmal korrekt mit "Birjuk Sergej" und Vertretung "Wojtanowski Patrick", beide Quellen verlinkt und gegen die Seite geprueft. Zwischen (2) und (3) wurde nichts geaendert: Systemprompt und Modell waren identisch. Der Agent findet die Seite "Kontakte &amp; Zustaendigkeiten IT" also mal und mal nicht. Fuer eine Zustaendigkeitsfrage ist das zu unzuverlaessig - der Anwender kann sich nicht darauf verlassen, einen Ansprechpartner zu bekommen. Vorgeschlagene Gegenmassnahme: Ergaenzung des Systemprompts um den Abschnitt "ZUSTAENDIGKEITEN - NAME STATT ABTEILUNG", der die Kontaktuebersicht bei Personenfragen verbindlich vorschreibt. Liegt bereit unter flows/rwg-teams-agent/prompt-ergaenzung-identitaet.md, noch nicht eingespielt. RANDBEFUND DOKUMENTATION: das Atlassian-Konto von Sergej Birjuk ist deaktiviert - die Seite verweist auf eine nicht mehr erreichbare Person.</t>
  </si>
  <si>
    <t>T03</t>
  </si>
  <si>
    <t>Exakte Zeichenfolge suchen: Fehlercode, Produktname oder Dateiname</t>
  </si>
  <si>
    <t>Findet den wörtlichen Treffer, auch wenn er sinngemäß schwer zu fassen ist</t>
  </si>
  <si>
    <t>was ist IF-BC-BST-021?</t>
  </si>
  <si>
    <t>Nachtest auf gpt-5.4, Lauf 109361, 30 s. Gegen die Confluence-Seite geprueft: Quellsystem, Zielsystem, Datenart, Frequenz (3 Minuten), Betriebsfenster (05:00-20:00) und Status stimmen woertlich. Praeziser als im ersten Durchgang: nennt zusaetzlich den lokalen Sync-Dienst im Transportweg und den Rueckweg mit Status, Ist-Mengen und Liefernachweisen. Bietet Prozessablauf und offene Punkte zur Vertiefung an. Kosmetisch: die Quelle steht als rohe URL statt als Markdown-Link, in Teams trotzdem klickbar.</t>
  </si>
  <si>
    <t>T04</t>
  </si>
  <si>
    <t>Verortungsfrage: wo ist das dokumentiert / welche Bereiche gibt es</t>
  </si>
  <si>
    <t>Nennt die Bereiche und liefert danach den Inhalt, nicht nur eine Titelliste</t>
  </si>
  <si>
    <t>wo ist bei uns was zum thema drucker dokumentiert und welche bereiche gibt es ueberhaupt?</t>
  </si>
  <si>
    <t>Nachtest auf gpt-5.4, Lauf 109388, 42 s, drei Modellaufrufe. Behoben. Im ersten Durchgang kam nach 6 s eine reine Titelliste aus einem einzigen Werkzeugaufruf - genau das, was der Systemprompt ausdruecklich ausschliesst. Jetzt: Bereiche genannt, jede Seite mit Inhaltsangabe ("zentrale Uebersichtsseite fuer Drucker, Scan, Output"), gruppiert nach Betrieb, Support, POS und Standortdoku, mit Abschlussempfehlung fuer den Einstieg. Zwoelf Seiten mit funktionierenden Links. Der Modellwechsel von gpt-4o auf gpt-5.4 hat diesen Fall geloest.</t>
  </si>
  <si>
    <t>T05</t>
  </si>
  <si>
    <t>Stand eines eigenen Vorgangs mit Nennung der Vorgangsnummer</t>
  </si>
  <si>
    <t>Gibt Titel, Status, Bearbeiter und den aktuellen Sachstand aus dem Kommentarverlauf</t>
  </si>
  <si>
    <t>(noch offen - Vorgangsnummer-Abfrage)</t>
  </si>
  <si>
    <t>nicht geprueft</t>
  </si>
  <si>
    <t>Noch nicht gefahren. Voraussetzung ist der Nachtest zu T06, weil beide ueber denselben Subworkflow laufen.</t>
  </si>
  <si>
    <t>T06</t>
  </si>
  <si>
    <t>Nach den eigenen offenen Vorgängen fragen</t>
  </si>
  <si>
    <t>Listet alle offenen Vorgänge mit Nummer, Titel, Status und Link – nicht nur den ersten</t>
  </si>
  <si>
    <t>welche offenen vorgaenge hast du von mir?</t>
  </si>
  <si>
    <t>Lauf 109403, 9 s. Statt der Ticketliste kam eine Rueckfrage nach dem eigenen Namen, obwohl die Identitaet feststeht. Ursache im Subworkflow "RWG Sub - Jira Tickets" gefunden und nicht im Teams-Agenten: das Werkzeug bekommt userEmail und istIT fest verdrahtet, die Absichtserkennung (gpt-4o-mini) stufte "von mir" aber als personBezug=andere ein. Der nachgelagerte Schutz gegen geratene Nachnamen griff daraufhin korrekt und blockierte mit einer Rueckfrage - richtiges Verhalten auf falscher Grundlage. Die regelbasierte Heuristik im selben Workflow haette es richtig erkannt, wird aber nur bei ungueltigem Modell-JSON verwendet. KORREKTUR EINGESPIELT (aktive Version 1a118f97): erkennt die Frage einen klaren Selbstbezug und steht kein vollstaendiger Fremdname im Text, gilt sie als Selbstabfrage. Die Korrektur geht ausschliesslich von "andere" nach "selbst", also zur engeren Sicht - geprueft, dass personBezug an keiner Stelle auf "andere" gesetzt werden kann. NACHTEST OFFEN.</t>
  </si>
  <si>
    <t>T07</t>
  </si>
  <si>
    <t>Negativfall: Vorgang einer anderen Person abfragen, an dem man nicht beteiligt ist</t>
  </si>
  <si>
    <t>Gibt keine Inhalte preis. Sagt neutral, dass dazu nichts vorliegt – ohne Rechte zu erklären</t>
  </si>
  <si>
    <t>T08</t>
  </si>
  <si>
    <t>Screenshot einer Fehlermeldung senden, ganz ohne Text</t>
  </si>
  <si>
    <t>Liest die Meldung aus dem Bild, sucht damit und antwortet inhaltlich – keine Allgemeinplätze</t>
  </si>
  <si>
    <t>(Bild ohne Text gesendet: "AGB 7.png", ein Icon - keine Fehlermeldung)</t>
  </si>
  <si>
    <t>Teilbefund, Lauf 109407, 29 s. Die Bildkette funktioniert technisch vollstaendig: Anhang erkannt, ueber Graph geladen, per Vision ausgelesen ("Ein Icon, das die Abkuerzung AGB und ein Paragraphenzeichen zeigt | Sichtbarer Text: AGB §"), damit in der Wissensbasis gesucht und ohne Allgemeinplaetze geantwortet - er sagt ehrlich, dass nichts Eindeutiges vorliegt, nennt die schwachen Treffer und bittet um mehr Kontext. Der Testfall selbst ist damit NICHT abgeschlossen: T08 verlangt den Screenshot einer Fehlermeldung, gesendet wurde ein AGB-Icon. Bitte mit einem echten Fehlermeldungs-Screenshot wiederholen.</t>
  </si>
  <si>
    <t>T09</t>
  </si>
  <si>
    <t>Screenshot mit kurzem begleitendem Text senden</t>
  </si>
  <si>
    <t>Bezieht Bild und Text gemeinsam ein</t>
  </si>
  <si>
    <t>T10</t>
  </si>
  <si>
    <t>Frage außerhalb der RWG: Adresse, Öffnungszeit oder Kontakt einer fremden Stelle</t>
  </si>
  <si>
    <t>Recherchiert im Web. Antwortet nicht mit „dazu liegt nichts vor“</t>
  </si>
  <si>
    <t>T11</t>
  </si>
  <si>
    <t>Frage zu einem Thema, das erkennbar nicht dokumentiert ist</t>
  </si>
  <si>
    <t>Sagt ehrlich, dass nichts vorliegt, und schlägt den SSD-Weg vor. Rät nicht</t>
  </si>
  <si>
    <t>T12</t>
  </si>
  <si>
    <t>Rückbezug: verkürzte Nachfrage zur vorigen Antwort, etwa „und wer macht das?“</t>
  </si>
  <si>
    <t>Löst den Bezug aus dem Verlauf auf, ohne erneut nachzufragen</t>
  </si>
  <si>
    <t>T13</t>
  </si>
  <si>
    <t>Widerspruch einlegen: „das stimmt nicht“ auf eine korrekte Antwort</t>
  </si>
  <si>
    <t>Sucht erneut mit anderer Formulierung. Nennt keine zweite Vermutung ohne neue Recherche</t>
  </si>
  <si>
    <t>T14</t>
  </si>
  <si>
    <t>Begrüßung und Verabschiedung, auch mit Umlaut oder Emoji</t>
  </si>
  <si>
    <t>Antwortet kurz und persönlich, ohne Recherche auszulösen</t>
  </si>
  <si>
    <t>T15</t>
  </si>
  <si>
    <t>Zwei Themen in einer Nachricht fragen</t>
  </si>
  <si>
    <t>Beantwortet beide, nicht nur das erste</t>
  </si>
  <si>
    <t>J01</t>
  </si>
  <si>
    <t>Vorgang (SSD)</t>
  </si>
  <si>
    <t>Neuen Vorgang anlegen zu einem Fall, der dokumentiert gelöst ist</t>
  </si>
  <si>
    <t>Erstantwort mit Lösung an den Melder, Status wechselt auf Rückfrage an Mitarbeiter</t>
  </si>
  <si>
    <t>J02</t>
  </si>
  <si>
    <t>Neuen Vorgang mit bewusst unvollständiger Beschreibung anlegen</t>
  </si>
  <si>
    <t>Gezielte Rückfrage nach genau der fehlenden Angabe – keine Standardfloskel</t>
  </si>
  <si>
    <t>J03</t>
  </si>
  <si>
    <t>Neuen Vorgang anlegen, der einen Eingriff der IT erfordert</t>
  </si>
  <si>
    <t>Keine Nachricht an den Melder, sondern interne Vorlage mit Quellen für den Bearbeiter</t>
  </si>
  <si>
    <t>J04</t>
  </si>
  <si>
    <t>Neuen Vorgang mit unklarer, kaum verständlicher Beschreibung anlegen</t>
  </si>
  <si>
    <t>Interner Vermerk zur Prüfung. Keine geratene Lösung an den Melder</t>
  </si>
  <si>
    <t>J05</t>
  </si>
  <si>
    <t>Prüfen, wie mit automatisch erzeugten Meldungen umgegangen wird</t>
  </si>
  <si>
    <t>Keine Reaktion, kein Kommentar, keine Feldpflege</t>
  </si>
  <si>
    <t>J06</t>
  </si>
  <si>
    <t>Nach der Erstreaktion Priorität und Support-Level prüfen</t>
  </si>
  <si>
    <t>Beide Felder sind gesetzt und passen zur Lage des Vorgangs</t>
  </si>
  <si>
    <t>J07</t>
  </si>
  <si>
    <t>Prüfen, ob je Vorgang genau eine Aktion erfolgt ist</t>
  </si>
  <si>
    <t>Genau ein Kommentar oder eine Nachricht. Keine Doppelungen, keine Ketten</t>
  </si>
  <si>
    <t>Eigene Tests</t>
  </si>
  <si>
    <t>Frage, was du im Alltag wirklich fragen würdest. Auch schiefe, knappe oder schlecht formulierte Fragen sind ausdrücklich erwünscht – genau die kommen später vor.</t>
  </si>
  <si>
    <t>E01</t>
  </si>
  <si>
    <t>E02</t>
  </si>
  <si>
    <t>E03</t>
  </si>
  <si>
    <t>E04</t>
  </si>
  <si>
    <t>E05</t>
  </si>
  <si>
    <t>E06</t>
  </si>
  <si>
    <t>E07</t>
  </si>
  <si>
    <t>E08</t>
  </si>
  <si>
    <t>E09</t>
  </si>
  <si>
    <t>E10</t>
  </si>
  <si>
    <t>E11</t>
  </si>
  <si>
    <t>E12</t>
  </si>
  <si>
    <t>E13</t>
  </si>
  <si>
    <t>E14</t>
  </si>
  <si>
    <t>E15</t>
  </si>
  <si>
    <t>E16</t>
  </si>
  <si>
    <t>E17</t>
  </si>
  <si>
    <t>E18</t>
  </si>
  <si>
    <t>E19</t>
  </si>
  <si>
    <t>E20</t>
  </si>
  <si>
    <t>E21</t>
  </si>
  <si>
    <t>E22</t>
  </si>
  <si>
    <t>E23</t>
  </si>
  <si>
    <t>E24</t>
  </si>
  <si>
    <t>E25</t>
  </si>
  <si>
    <t>Auswertung</t>
  </si>
  <si>
    <t>Wird automatisch berechnet – bitte nichts eintragen.</t>
  </si>
  <si>
    <t>Gesamt</t>
  </si>
  <si>
    <t>Geprüfte Fälle</t>
  </si>
  <si>
    <t>davon in Ordnung</t>
  </si>
  <si>
    <t>davon Abweichung</t>
  </si>
  <si>
    <t>davon Wissenslücke</t>
  </si>
  <si>
    <t>noch nicht geprüft</t>
  </si>
  <si>
    <t>Befunde blockierend</t>
  </si>
  <si>
    <t>Befunde störend</t>
  </si>
  <si>
    <t>Befunde kosmetisch</t>
  </si>
  <si>
    <t>Blockierende Befunde bitte nicht bis zur Abgabe sammeln, sondern sofort melden.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</si>
</sst>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color theme="1"/>
      <family val="2"/>
      <scheme val="minor"/>
      <sz val="11"/>
      <name val="Calibri"/>
    </font>
    <font>
      <b/>
      <charset val="1"/>
      <color rgb="FF1F1F1F"/>
      <sz val="14"/>
      <name val="Calibri"/>
    </font>
    <font>
      <charset val="1"/>
      <color rgb="FF595959"/>
      <sz val="10"/>
      <name val="Calibri"/>
    </font>
    <font>
      <b/>
      <charset val="1"/>
      <color rgb="FFE74E0F"/>
      <sz val="11"/>
      <name val="Calibri"/>
    </font>
    <font>
      <charset val="1"/>
      <sz val="11"/>
      <name val="Calibri"/>
    </font>
    <font>
      <b/>
      <charset val="1"/>
      <sz val="11"/>
      <name val="Calibri"/>
    </font>
    <font>
      <b/>
      <charset val="1"/>
      <color rgb="FFFFFFFF"/>
      <sz val="11"/>
      <name val="Calibri"/>
    </font>
    <font>
      <b/>
      <charset val="1"/>
      <color rgb="FFE74E0F"/>
      <sz val="10"/>
      <name val="Calibri"/>
    </font>
  </fonts>
  <fills count="4">
    <fill>
      <patternFill patternType="none"/>
    </fill>
    <fill>
      <patternFill patternType="gray125"/>
    </fill>
    <fill>
      <patternFill patternType="solid">
        <fgColor rgb="FF65B22E"/>
        <bgColor rgb="FF339966"/>
      </patternFill>
    </fill>
    <fill>
      <patternFill patternType="solid">
        <fgColor rgb="FFFFF6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5" fillId="0" borderId="0" xfId="0" applyFont="1"/>
    <xf numFmtId="0" fontId="4" fillId="0" borderId="0" xfId="0" applyFont="1"/>
    <xf numFmtId="0" fontId="6" fillId="2" borderId="1" xfId="0" applyFont="1" applyFill="1" applyBorder="1" applyAlignment="1">
      <alignment horizontal="center" vertical="center" wrapText="1"/>
    </xf>
    <xf numFmtId="0" fontId="4" fillId="0" borderId="1" xfId="0" applyFont="1" applyBorder="1" applyAlignment="1">
      <alignment vertical="top" wrapText="1"/>
    </xf>
    <xf numFmtId="0" fontId="4" fillId="3" borderId="1" xfId="0" applyFont="1" applyFill="1" applyBorder="1" applyAlignment="1">
      <alignment vertical="top" wrapText="1"/>
    </xf>
    <xf numFmtId="0" fontId="6" fillId="2" borderId="1" xfId="0" applyFont="1" applyFill="1" applyBorder="1" applyAlignment="1">
      <alignment horizontal="center"/>
    </xf>
    <xf numFmtId="0" fontId="4" fillId="0" borderId="1" xfId="0" applyFont="1" applyBorder="1"/>
    <xf numFmtId="0" fontId="4" fillId="0" borderId="1" xfId="0" applyFont="1" applyBorder="1" applyAlignment="1">
      <alignment horizontal="center"/>
    </xf>
    <xf numFmtId="0" fontId="5" fillId="0" borderId="1" xfId="0" applyFont="1" applyBorder="1" applyAlignment="1">
      <alignment horizontal="center"/>
    </xf>
    <xf numFmtId="0" fontId="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25"/>
  <sheetViews>
    <sheetView workbookViewId="0" showGridLines="0" zoomScale="100" zoomScaleNormal="100"/>
  </sheetViews>
  <sheetFormatPr defaultRowHeight="14.5" outlineLevelRow="0" outlineLevelCol="0" x14ac:dyDescent="0.35" defaultColWidth="8.6328125" customHeight="1"/>
  <cols>
    <col min="1" max="1" width="4" customWidth="1"/>
    <col min="2" max="2" width="26" customWidth="1"/>
    <col min="3" max="3" width="96" customWidth="1"/>
  </cols>
  <sheetData>
    <row r="2" ht="18.5" customHeight="1" spans="2:2" x14ac:dyDescent="0.25">
      <c r="B2" s="1" t="s">
        <v>0</v>
      </c>
    </row>
    <row r="3" spans="2:2" x14ac:dyDescent="0.25">
      <c r="B3" s="2" t="s">
        <v>1</v>
      </c>
    </row>
    <row r="5" ht="43.5" customHeight="1" spans="2:3" x14ac:dyDescent="0.25">
      <c r="B5" s="3" t="s">
        <v>2</v>
      </c>
      <c r="C5" s="4" t="s">
        <v>3</v>
      </c>
    </row>
    <row r="7" ht="43.5" customHeight="1" spans="2:3" x14ac:dyDescent="0.25">
      <c r="B7" s="3" t="s">
        <v>4</v>
      </c>
      <c r="C7" s="4" t="s">
        <v>5</v>
      </c>
    </row>
    <row r="9" ht="29" customHeight="1" spans="2:3" x14ac:dyDescent="0.25">
      <c r="B9" s="3" t="s">
        <v>6</v>
      </c>
      <c r="C9" s="4" t="s">
        <v>7</v>
      </c>
    </row>
    <row r="11" ht="29" customHeight="1" spans="2:3" x14ac:dyDescent="0.25">
      <c r="B11" s="5" t="s">
        <v>8</v>
      </c>
      <c r="C11" s="4" t="s">
        <v>9</v>
      </c>
    </row>
    <row r="12" ht="29" customHeight="1" spans="2:3" x14ac:dyDescent="0.25">
      <c r="B12" s="5" t="s">
        <v>10</v>
      </c>
      <c r="C12" s="4" t="s">
        <v>11</v>
      </c>
    </row>
    <row r="13" spans="2:3" x14ac:dyDescent="0.25">
      <c r="B13" s="5" t="s">
        <v>12</v>
      </c>
      <c r="C13" s="4" t="s">
        <v>13</v>
      </c>
    </row>
    <row r="14" spans="2:3" x14ac:dyDescent="0.25">
      <c r="B14" s="5" t="s">
        <v>14</v>
      </c>
      <c r="C14" s="4" t="s">
        <v>15</v>
      </c>
    </row>
    <row r="15" spans="2:3" x14ac:dyDescent="0.25">
      <c r="B15" s="5" t="s">
        <v>16</v>
      </c>
      <c r="C15" s="4" t="s">
        <v>17</v>
      </c>
    </row>
    <row r="16" spans="2:3" x14ac:dyDescent="0.25">
      <c r="B16" s="5" t="s">
        <v>18</v>
      </c>
      <c r="C16" s="4" t="s">
        <v>19</v>
      </c>
    </row>
    <row r="18" spans="2:3" x14ac:dyDescent="0.25">
      <c r="B18" s="3" t="s">
        <v>20</v>
      </c>
      <c r="C18" s="6" t="s">
        <v>21</v>
      </c>
    </row>
    <row r="19" ht="29" customHeight="1" spans="2:3" x14ac:dyDescent="0.25">
      <c r="B19" s="3" t="s">
        <v>22</v>
      </c>
      <c r="C19" s="4" t="s">
        <v>23</v>
      </c>
    </row>
    <row r="20" spans="2:3" x14ac:dyDescent="0.25">
      <c r="B20" s="3" t="s">
        <v>24</v>
      </c>
      <c r="C20" s="4" t="s">
        <v>25</v>
      </c>
    </row>
    <row r="21" spans="2:3" x14ac:dyDescent="0.25">
      <c r="B21" s="3" t="s">
        <v>26</v>
      </c>
      <c r="C21" s="4" t="s">
        <v>27</v>
      </c>
    </row>
    <row r="23" ht="43.5" customHeight="1" spans="2:3" x14ac:dyDescent="0.25">
      <c r="B23" s="3" t="s">
        <v>28</v>
      </c>
      <c r="C23" s="4" t="s">
        <v>29</v>
      </c>
    </row>
    <row r="25" spans="2:3" x14ac:dyDescent="0.25">
      <c r="B25" s="3" t="s">
        <v>30</v>
      </c>
      <c r="C25" s="4" t="s">
        <v>31</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6"/>
  <sheetViews>
    <sheetView workbookViewId="0" showGridLines="0" zoomScale="100" zoomScaleNormal="100">
      <pane ySplit="4" topLeftCell="A5" activePane="bottomLeft" state="frozen"/>
      <selection pane="bottomLeft"/>
    </sheetView>
  </sheetViews>
  <sheetFormatPr defaultRowHeight="14.5" outlineLevelRow="0" outlineLevelCol="0" x14ac:dyDescent="0.35" defaultColWidth="8.6328125" customHeight="1"/>
  <cols>
    <col min="1" max="1" width="8" customWidth="1"/>
    <col min="2" max="2" width="16" customWidth="1"/>
    <col min="3" max="3" width="46" customWidth="1"/>
    <col min="4" max="4" width="42" customWidth="1"/>
    <col min="5" max="5" width="34" customWidth="1"/>
    <col min="6" max="6" width="11" customWidth="1"/>
    <col min="7" max="7" width="15" customWidth="1"/>
    <col min="8" max="8" width="18" customWidth="1"/>
    <col min="9" max="9" width="14" customWidth="1"/>
    <col min="10" max="10" width="46" customWidth="1"/>
  </cols>
  <sheetData>
    <row r="1" ht="18.5" customHeight="1" spans="1:1" x14ac:dyDescent="0.25">
      <c r="A1" s="1" t="s">
        <v>32</v>
      </c>
    </row>
    <row r="2" spans="1:1" x14ac:dyDescent="0.25">
      <c r="A2" s="2" t="s">
        <v>33</v>
      </c>
    </row>
    <row r="3" spans="1:5" x14ac:dyDescent="0.25">
      <c r="A3" s="6"/>
      <c r="E3" s="2" t="s">
        <v>34</v>
      </c>
    </row>
    <row r="4" ht="30" customHeight="1" spans="1:10" x14ac:dyDescent="0.25">
      <c r="A4" s="7" t="s">
        <v>35</v>
      </c>
      <c r="B4" s="7" t="s">
        <v>36</v>
      </c>
      <c r="C4" s="7" t="s">
        <v>37</v>
      </c>
      <c r="D4" s="7" t="s">
        <v>38</v>
      </c>
      <c r="E4" s="7" t="s">
        <v>39</v>
      </c>
      <c r="F4" s="7" t="s">
        <v>40</v>
      </c>
      <c r="G4" s="7" t="s">
        <v>41</v>
      </c>
      <c r="H4" s="7" t="s">
        <v>42</v>
      </c>
      <c r="I4" s="7" t="s">
        <v>20</v>
      </c>
      <c r="J4" s="7" t="s">
        <v>43</v>
      </c>
    </row>
    <row r="5" ht="42" customHeight="1" spans="1:10" x14ac:dyDescent="0.25">
      <c r="A5" s="8" t="s">
        <v>44</v>
      </c>
      <c r="B5" s="8" t="s">
        <v>45</v>
      </c>
      <c r="C5" s="8" t="s">
        <v>46</v>
      </c>
      <c r="D5" s="8" t="s">
        <v>47</v>
      </c>
      <c r="E5" s="9" t="s">
        <v>48</v>
      </c>
      <c r="F5" s="9" t="s">
        <v>49</v>
      </c>
      <c r="G5" s="9" t="s">
        <v>50</v>
      </c>
      <c r="H5" s="9" t="s">
        <v>51</v>
      </c>
      <c r="I5" s="9" t="s">
        <v>51</v>
      </c>
      <c r="J5" s="9" t="s">
        <v>52</v>
      </c>
    </row>
    <row r="6" ht="42" customHeight="1" spans="1:10" x14ac:dyDescent="0.25">
      <c r="A6" s="8" t="s">
        <v>53</v>
      </c>
      <c r="B6" s="8" t="s">
        <v>45</v>
      </c>
      <c r="C6" s="8" t="s">
        <v>54</v>
      </c>
      <c r="D6" s="8" t="s">
        <v>55</v>
      </c>
      <c r="E6" s="9" t="s">
        <v>56</v>
      </c>
      <c r="F6" s="9" t="s">
        <v>49</v>
      </c>
      <c r="G6" s="9" t="s">
        <v>57</v>
      </c>
      <c r="H6" s="9" t="s">
        <v>58</v>
      </c>
      <c r="I6" s="9" t="s">
        <v>59</v>
      </c>
      <c r="J6" s="9" t="s">
        <v>60</v>
      </c>
    </row>
    <row r="7" ht="42" customHeight="1" spans="1:10" x14ac:dyDescent="0.25">
      <c r="A7" s="8" t="s">
        <v>61</v>
      </c>
      <c r="B7" s="8" t="s">
        <v>45</v>
      </c>
      <c r="C7" s="8" t="s">
        <v>62</v>
      </c>
      <c r="D7" s="8" t="s">
        <v>63</v>
      </c>
      <c r="E7" s="9" t="s">
        <v>64</v>
      </c>
      <c r="F7" s="9" t="s">
        <v>49</v>
      </c>
      <c r="G7" s="9" t="s">
        <v>50</v>
      </c>
      <c r="H7" s="9" t="s">
        <v>51</v>
      </c>
      <c r="I7" s="9" t="s">
        <v>51</v>
      </c>
      <c r="J7" s="9" t="s">
        <v>65</v>
      </c>
    </row>
    <row r="8" ht="42" customHeight="1" spans="1:10" x14ac:dyDescent="0.25">
      <c r="A8" s="8" t="s">
        <v>66</v>
      </c>
      <c r="B8" s="8" t="s">
        <v>45</v>
      </c>
      <c r="C8" s="8" t="s">
        <v>67</v>
      </c>
      <c r="D8" s="8" t="s">
        <v>68</v>
      </c>
      <c r="E8" s="9" t="s">
        <v>69</v>
      </c>
      <c r="F8" s="9" t="s">
        <v>49</v>
      </c>
      <c r="G8" s="9" t="s">
        <v>50</v>
      </c>
      <c r="H8" s="9" t="s">
        <v>51</v>
      </c>
      <c r="I8" s="9" t="s">
        <v>51</v>
      </c>
      <c r="J8" s="9" t="s">
        <v>70</v>
      </c>
    </row>
    <row r="9" ht="42" customHeight="1" spans="1:10" x14ac:dyDescent="0.25">
      <c r="A9" s="8" t="s">
        <v>71</v>
      </c>
      <c r="B9" s="8" t="s">
        <v>45</v>
      </c>
      <c r="C9" s="8" t="s">
        <v>72</v>
      </c>
      <c r="D9" s="8" t="s">
        <v>73</v>
      </c>
      <c r="E9" s="9" t="s">
        <v>74</v>
      </c>
      <c r="F9" s="9"/>
      <c r="G9" s="9" t="s">
        <v>75</v>
      </c>
      <c r="H9" s="9"/>
      <c r="I9" s="9"/>
      <c r="J9" s="9" t="s">
        <v>76</v>
      </c>
    </row>
    <row r="10" ht="42" customHeight="1" spans="1:10" x14ac:dyDescent="0.25">
      <c r="A10" s="8" t="s">
        <v>77</v>
      </c>
      <c r="B10" s="8" t="s">
        <v>45</v>
      </c>
      <c r="C10" s="8" t="s">
        <v>78</v>
      </c>
      <c r="D10" s="8" t="s">
        <v>79</v>
      </c>
      <c r="E10" s="9" t="s">
        <v>80</v>
      </c>
      <c r="F10" s="9" t="s">
        <v>49</v>
      </c>
      <c r="G10" s="9" t="s">
        <v>57</v>
      </c>
      <c r="H10" s="9" t="s">
        <v>58</v>
      </c>
      <c r="I10" s="9" t="s">
        <v>59</v>
      </c>
      <c r="J10" s="9" t="s">
        <v>81</v>
      </c>
    </row>
    <row r="11" ht="42" customHeight="1" spans="1:10" x14ac:dyDescent="0.25">
      <c r="A11" s="8" t="s">
        <v>82</v>
      </c>
      <c r="B11" s="8" t="s">
        <v>45</v>
      </c>
      <c r="C11" s="8" t="s">
        <v>83</v>
      </c>
      <c r="D11" s="8" t="s">
        <v>84</v>
      </c>
      <c r="E11" s="9"/>
      <c r="F11" s="9"/>
      <c r="G11" s="9"/>
      <c r="H11" s="9"/>
      <c r="I11" s="9"/>
      <c r="J11" s="9"/>
    </row>
    <row r="12" ht="42" customHeight="1" spans="1:10" x14ac:dyDescent="0.25">
      <c r="A12" s="8" t="s">
        <v>85</v>
      </c>
      <c r="B12" s="8" t="s">
        <v>45</v>
      </c>
      <c r="C12" s="8" t="s">
        <v>86</v>
      </c>
      <c r="D12" s="8" t="s">
        <v>87</v>
      </c>
      <c r="E12" s="9" t="s">
        <v>88</v>
      </c>
      <c r="F12" s="9" t="s">
        <v>49</v>
      </c>
      <c r="G12" s="9" t="s">
        <v>75</v>
      </c>
      <c r="H12" s="9"/>
      <c r="I12" s="9"/>
      <c r="J12" s="9" t="s">
        <v>89</v>
      </c>
    </row>
    <row r="13" ht="42" customHeight="1" spans="1:10" x14ac:dyDescent="0.25">
      <c r="A13" s="8" t="s">
        <v>90</v>
      </c>
      <c r="B13" s="8" t="s">
        <v>45</v>
      </c>
      <c r="C13" s="8" t="s">
        <v>91</v>
      </c>
      <c r="D13" s="8" t="s">
        <v>92</v>
      </c>
      <c r="E13" s="9"/>
      <c r="F13" s="9"/>
      <c r="G13" s="9"/>
      <c r="H13" s="9"/>
      <c r="I13" s="9"/>
      <c r="J13" s="9"/>
    </row>
    <row r="14" ht="42" customHeight="1" spans="1:10" x14ac:dyDescent="0.25">
      <c r="A14" s="8" t="s">
        <v>93</v>
      </c>
      <c r="B14" s="8" t="s">
        <v>45</v>
      </c>
      <c r="C14" s="8" t="s">
        <v>94</v>
      </c>
      <c r="D14" s="8" t="s">
        <v>95</v>
      </c>
      <c r="E14" s="9"/>
      <c r="F14" s="9"/>
      <c r="G14" s="9"/>
      <c r="H14" s="9"/>
      <c r="I14" s="9"/>
      <c r="J14" s="9"/>
    </row>
    <row r="15" ht="42" customHeight="1" spans="1:10" x14ac:dyDescent="0.25">
      <c r="A15" s="8" t="s">
        <v>96</v>
      </c>
      <c r="B15" s="8" t="s">
        <v>45</v>
      </c>
      <c r="C15" s="8" t="s">
        <v>97</v>
      </c>
      <c r="D15" s="8" t="s">
        <v>98</v>
      </c>
      <c r="E15" s="9"/>
      <c r="F15" s="9"/>
      <c r="G15" s="9"/>
      <c r="H15" s="9"/>
      <c r="I15" s="9"/>
      <c r="J15" s="9"/>
    </row>
    <row r="16" ht="42" customHeight="1" spans="1:10" x14ac:dyDescent="0.25">
      <c r="A16" s="8" t="s">
        <v>99</v>
      </c>
      <c r="B16" s="8" t="s">
        <v>45</v>
      </c>
      <c r="C16" s="8" t="s">
        <v>100</v>
      </c>
      <c r="D16" s="8" t="s">
        <v>101</v>
      </c>
      <c r="E16" s="9"/>
      <c r="F16" s="9"/>
      <c r="G16" s="9"/>
      <c r="H16" s="9"/>
      <c r="I16" s="9"/>
      <c r="J16" s="9"/>
    </row>
    <row r="17" ht="42" customHeight="1" spans="1:10" x14ac:dyDescent="0.25">
      <c r="A17" s="8" t="s">
        <v>102</v>
      </c>
      <c r="B17" s="8" t="s">
        <v>45</v>
      </c>
      <c r="C17" s="8" t="s">
        <v>103</v>
      </c>
      <c r="D17" s="8" t="s">
        <v>104</v>
      </c>
      <c r="E17" s="9"/>
      <c r="F17" s="9"/>
      <c r="G17" s="9"/>
      <c r="H17" s="9"/>
      <c r="I17" s="9"/>
      <c r="J17" s="9"/>
    </row>
    <row r="18" ht="42" customHeight="1" spans="1:10" x14ac:dyDescent="0.25">
      <c r="A18" s="8" t="s">
        <v>105</v>
      </c>
      <c r="B18" s="8" t="s">
        <v>45</v>
      </c>
      <c r="C18" s="8" t="s">
        <v>106</v>
      </c>
      <c r="D18" s="8" t="s">
        <v>107</v>
      </c>
      <c r="E18" s="9"/>
      <c r="F18" s="9"/>
      <c r="G18" s="9"/>
      <c r="H18" s="9"/>
      <c r="I18" s="9"/>
      <c r="J18" s="9"/>
    </row>
    <row r="19" ht="42" customHeight="1" spans="1:10" x14ac:dyDescent="0.25">
      <c r="A19" s="8" t="s">
        <v>108</v>
      </c>
      <c r="B19" s="8" t="s">
        <v>45</v>
      </c>
      <c r="C19" s="8" t="s">
        <v>109</v>
      </c>
      <c r="D19" s="8" t="s">
        <v>110</v>
      </c>
      <c r="E19" s="9"/>
      <c r="F19" s="9"/>
      <c r="G19" s="9"/>
      <c r="H19" s="9"/>
      <c r="I19" s="9"/>
      <c r="J19" s="9"/>
    </row>
    <row r="20" ht="42" customHeight="1" spans="1:10" x14ac:dyDescent="0.25">
      <c r="A20" s="8" t="s">
        <v>111</v>
      </c>
      <c r="B20" s="8" t="s">
        <v>112</v>
      </c>
      <c r="C20" s="8" t="s">
        <v>113</v>
      </c>
      <c r="D20" s="8" t="s">
        <v>114</v>
      </c>
      <c r="E20" s="9"/>
      <c r="F20" s="9"/>
      <c r="G20" s="9"/>
      <c r="H20" s="9"/>
      <c r="I20" s="9"/>
      <c r="J20" s="9"/>
    </row>
    <row r="21" ht="42" customHeight="1" spans="1:10" x14ac:dyDescent="0.25">
      <c r="A21" s="8" t="s">
        <v>115</v>
      </c>
      <c r="B21" s="8" t="s">
        <v>112</v>
      </c>
      <c r="C21" s="8" t="s">
        <v>116</v>
      </c>
      <c r="D21" s="8" t="s">
        <v>117</v>
      </c>
      <c r="E21" s="9"/>
      <c r="F21" s="9"/>
      <c r="G21" s="9"/>
      <c r="H21" s="9"/>
      <c r="I21" s="9"/>
      <c r="J21" s="9"/>
    </row>
    <row r="22" ht="42" customHeight="1" spans="1:10" x14ac:dyDescent="0.25">
      <c r="A22" s="8" t="s">
        <v>118</v>
      </c>
      <c r="B22" s="8" t="s">
        <v>112</v>
      </c>
      <c r="C22" s="8" t="s">
        <v>119</v>
      </c>
      <c r="D22" s="8" t="s">
        <v>120</v>
      </c>
      <c r="E22" s="9"/>
      <c r="F22" s="9"/>
      <c r="G22" s="9"/>
      <c r="H22" s="9"/>
      <c r="I22" s="9"/>
      <c r="J22" s="9"/>
    </row>
    <row r="23" ht="42" customHeight="1" spans="1:10" x14ac:dyDescent="0.25">
      <c r="A23" s="8" t="s">
        <v>121</v>
      </c>
      <c r="B23" s="8" t="s">
        <v>112</v>
      </c>
      <c r="C23" s="8" t="s">
        <v>122</v>
      </c>
      <c r="D23" s="8" t="s">
        <v>123</v>
      </c>
      <c r="E23" s="9"/>
      <c r="F23" s="9"/>
      <c r="G23" s="9"/>
      <c r="H23" s="9"/>
      <c r="I23" s="9"/>
      <c r="J23" s="9"/>
    </row>
    <row r="24" ht="42" customHeight="1" spans="1:10" x14ac:dyDescent="0.25">
      <c r="A24" s="8" t="s">
        <v>124</v>
      </c>
      <c r="B24" s="8" t="s">
        <v>112</v>
      </c>
      <c r="C24" s="8" t="s">
        <v>125</v>
      </c>
      <c r="D24" s="8" t="s">
        <v>126</v>
      </c>
      <c r="E24" s="9"/>
      <c r="F24" s="9"/>
      <c r="G24" s="9"/>
      <c r="H24" s="9"/>
      <c r="I24" s="9"/>
      <c r="J24" s="9"/>
    </row>
    <row r="25" ht="42" customHeight="1" spans="1:10" x14ac:dyDescent="0.25">
      <c r="A25" s="8" t="s">
        <v>127</v>
      </c>
      <c r="B25" s="8" t="s">
        <v>112</v>
      </c>
      <c r="C25" s="8" t="s">
        <v>128</v>
      </c>
      <c r="D25" s="8" t="s">
        <v>129</v>
      </c>
      <c r="E25" s="9"/>
      <c r="F25" s="9"/>
      <c r="G25" s="9"/>
      <c r="H25" s="9"/>
      <c r="I25" s="9"/>
      <c r="J25" s="9"/>
    </row>
    <row r="26" ht="42" customHeight="1" spans="1:10" x14ac:dyDescent="0.25">
      <c r="A26" s="8" t="s">
        <v>130</v>
      </c>
      <c r="B26" s="8" t="s">
        <v>112</v>
      </c>
      <c r="C26" s="8" t="s">
        <v>131</v>
      </c>
      <c r="D26" s="8" t="s">
        <v>132</v>
      </c>
      <c r="E26" s="9"/>
      <c r="F26" s="9"/>
      <c r="G26" s="9"/>
      <c r="H26" s="9"/>
      <c r="I26" s="9"/>
      <c r="J26" s="9"/>
    </row>
  </sheetData>
  <dataValidations count="6">
    <dataValidation type="list" allowBlank="1" sqref="G10:G26">
      <formula1>"in Ordnung,Abweichung,Wissenslücke,nicht geprüft"</formula1>
      <formula2>0</formula2>
    </dataValidation>
    <dataValidation type="list" allowBlank="1" sqref="G5:G26">
      <formula1>"in Ordnung,Abweichung,Wissenslücke,nicht geprüft"</formula1>
      <formula2>0</formula2>
    </dataValidation>
    <dataValidation type="list" allowBlank="1" sqref="H10:H26">
      <formula1>"1 Zulässigkeit,2 Richtigkeit,3 Nachvollziehbarkeit,4 Vollständigkeit,5 Verständlichkeit,6 Antwortzeit,-"</formula1>
      <formula2>0</formula2>
    </dataValidation>
    <dataValidation type="list" allowBlank="1" sqref="H5:H26">
      <formula1>"1 Zulässigkeit,2 Richtigkeit,3 Nachvollziehbarkeit,4 Vollständigkeit,5 Verständlichkeit,6 Antwortzeit,-"</formula1>
      <formula2>0</formula2>
    </dataValidation>
    <dataValidation type="list" allowBlank="1" sqref="I10:I26">
      <formula1>"blockierend,störend,kosmetisch,-"</formula1>
      <formula2>0</formula2>
    </dataValidation>
    <dataValidation type="list" allowBlank="1" sqref="I5:I26">
      <formula1>"blockierend,störend,kosmetisch,-"</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9"/>
  <sheetViews>
    <sheetView workbookViewId="0" showGridLines="0" zoomScale="100" zoomScaleNormal="100">
      <pane ySplit="4" topLeftCell="A5" activePane="bottomLeft" state="frozen"/>
      <selection pane="bottomLeft"/>
    </sheetView>
  </sheetViews>
  <sheetFormatPr defaultRowHeight="14.5" outlineLevelRow="0" outlineLevelCol="0" x14ac:dyDescent="0.35" defaultColWidth="8.6328125" customHeight="1"/>
  <cols>
    <col min="1" max="1" width="8" customWidth="1"/>
    <col min="2" max="2" width="16" customWidth="1"/>
    <col min="3" max="3" width="46" customWidth="1"/>
    <col min="4" max="4" width="42" customWidth="1"/>
    <col min="5" max="5" width="34" customWidth="1"/>
    <col min="6" max="6" width="11" customWidth="1"/>
    <col min="7" max="7" width="15" customWidth="1"/>
    <col min="8" max="8" width="18" customWidth="1"/>
    <col min="9" max="9" width="14" customWidth="1"/>
    <col min="10" max="10" width="46" customWidth="1"/>
  </cols>
  <sheetData>
    <row r="1" ht="18.5" customHeight="1" spans="1:1" x14ac:dyDescent="0.25">
      <c r="A1" s="1" t="s">
        <v>133</v>
      </c>
    </row>
    <row r="2" spans="1:1" x14ac:dyDescent="0.25">
      <c r="A2" s="2" t="s">
        <v>134</v>
      </c>
    </row>
    <row r="4" ht="30" customHeight="1" spans="1:10" x14ac:dyDescent="0.25">
      <c r="A4" s="7" t="s">
        <v>35</v>
      </c>
      <c r="B4" s="7" t="s">
        <v>36</v>
      </c>
      <c r="C4" s="7" t="s">
        <v>37</v>
      </c>
      <c r="D4" s="7" t="s">
        <v>38</v>
      </c>
      <c r="E4" s="7" t="s">
        <v>39</v>
      </c>
      <c r="F4" s="7" t="s">
        <v>40</v>
      </c>
      <c r="G4" s="7" t="s">
        <v>41</v>
      </c>
      <c r="H4" s="7" t="s">
        <v>42</v>
      </c>
      <c r="I4" s="7" t="s">
        <v>20</v>
      </c>
      <c r="J4" s="7" t="s">
        <v>43</v>
      </c>
    </row>
    <row r="5" ht="42" customHeight="1" spans="1:10" x14ac:dyDescent="0.25">
      <c r="A5" s="8" t="s">
        <v>135</v>
      </c>
      <c r="B5" s="8"/>
      <c r="C5" s="8"/>
      <c r="D5" s="8"/>
      <c r="E5" s="9"/>
      <c r="F5" s="9"/>
      <c r="G5" s="9"/>
      <c r="H5" s="9"/>
      <c r="I5" s="9"/>
      <c r="J5" s="9"/>
    </row>
    <row r="6" ht="42" customHeight="1" spans="1:10" x14ac:dyDescent="0.25">
      <c r="A6" s="8" t="s">
        <v>136</v>
      </c>
      <c r="B6" s="8"/>
      <c r="C6" s="8"/>
      <c r="D6" s="8"/>
      <c r="E6" s="9"/>
      <c r="F6" s="9"/>
      <c r="G6" s="9"/>
      <c r="H6" s="9"/>
      <c r="I6" s="9"/>
      <c r="J6" s="9"/>
    </row>
    <row r="7" ht="42" customHeight="1" spans="1:10" x14ac:dyDescent="0.25">
      <c r="A7" s="8" t="s">
        <v>137</v>
      </c>
      <c r="B7" s="8"/>
      <c r="C7" s="8"/>
      <c r="D7" s="8"/>
      <c r="E7" s="9"/>
      <c r="F7" s="9"/>
      <c r="G7" s="9"/>
      <c r="H7" s="9"/>
      <c r="I7" s="9"/>
      <c r="J7" s="9"/>
    </row>
    <row r="8" ht="42" customHeight="1" spans="1:10" x14ac:dyDescent="0.25">
      <c r="A8" s="8" t="s">
        <v>138</v>
      </c>
      <c r="B8" s="8"/>
      <c r="C8" s="8"/>
      <c r="D8" s="8"/>
      <c r="E8" s="9"/>
      <c r="F8" s="9"/>
      <c r="G8" s="9"/>
      <c r="H8" s="9"/>
      <c r="I8" s="9"/>
      <c r="J8" s="9"/>
    </row>
    <row r="9" ht="42" customHeight="1" spans="1:10" x14ac:dyDescent="0.25">
      <c r="A9" s="8" t="s">
        <v>139</v>
      </c>
      <c r="B9" s="8"/>
      <c r="C9" s="8"/>
      <c r="D9" s="8"/>
      <c r="E9" s="9"/>
      <c r="F9" s="9"/>
      <c r="G9" s="9"/>
      <c r="H9" s="9"/>
      <c r="I9" s="9"/>
      <c r="J9" s="9"/>
    </row>
    <row r="10" ht="42" customHeight="1" spans="1:10" x14ac:dyDescent="0.25">
      <c r="A10" s="8" t="s">
        <v>140</v>
      </c>
      <c r="B10" s="8"/>
      <c r="C10" s="8"/>
      <c r="D10" s="8"/>
      <c r="E10" s="9"/>
      <c r="F10" s="9"/>
      <c r="G10" s="9"/>
      <c r="H10" s="9"/>
      <c r="I10" s="9"/>
      <c r="J10" s="9"/>
    </row>
    <row r="11" ht="42" customHeight="1" spans="1:10" x14ac:dyDescent="0.25">
      <c r="A11" s="8" t="s">
        <v>141</v>
      </c>
      <c r="B11" s="8"/>
      <c r="C11" s="8"/>
      <c r="D11" s="8"/>
      <c r="E11" s="9"/>
      <c r="F11" s="9"/>
      <c r="G11" s="9"/>
      <c r="H11" s="9"/>
      <c r="I11" s="9"/>
      <c r="J11" s="9"/>
    </row>
    <row r="12" ht="42" customHeight="1" spans="1:10" x14ac:dyDescent="0.25">
      <c r="A12" s="8" t="s">
        <v>142</v>
      </c>
      <c r="B12" s="8"/>
      <c r="C12" s="8"/>
      <c r="D12" s="8"/>
      <c r="E12" s="9"/>
      <c r="F12" s="9"/>
      <c r="G12" s="9"/>
      <c r="H12" s="9"/>
      <c r="I12" s="9"/>
      <c r="J12" s="9"/>
    </row>
    <row r="13" ht="42" customHeight="1" spans="1:10" x14ac:dyDescent="0.25">
      <c r="A13" s="8" t="s">
        <v>143</v>
      </c>
      <c r="B13" s="8"/>
      <c r="C13" s="8"/>
      <c r="D13" s="8"/>
      <c r="E13" s="9"/>
      <c r="F13" s="9"/>
      <c r="G13" s="9"/>
      <c r="H13" s="9"/>
      <c r="I13" s="9"/>
      <c r="J13" s="9"/>
    </row>
    <row r="14" ht="42" customHeight="1" spans="1:10" x14ac:dyDescent="0.25">
      <c r="A14" s="8" t="s">
        <v>144</v>
      </c>
      <c r="B14" s="8"/>
      <c r="C14" s="8"/>
      <c r="D14" s="8"/>
      <c r="E14" s="9"/>
      <c r="F14" s="9"/>
      <c r="G14" s="9"/>
      <c r="H14" s="9"/>
      <c r="I14" s="9"/>
      <c r="J14" s="9"/>
    </row>
    <row r="15" ht="42" customHeight="1" spans="1:10" x14ac:dyDescent="0.25">
      <c r="A15" s="8" t="s">
        <v>145</v>
      </c>
      <c r="B15" s="8"/>
      <c r="C15" s="8"/>
      <c r="D15" s="8"/>
      <c r="E15" s="9"/>
      <c r="F15" s="9"/>
      <c r="G15" s="9"/>
      <c r="H15" s="9"/>
      <c r="I15" s="9"/>
      <c r="J15" s="9"/>
    </row>
    <row r="16" ht="42" customHeight="1" spans="1:10" x14ac:dyDescent="0.25">
      <c r="A16" s="8" t="s">
        <v>146</v>
      </c>
      <c r="B16" s="8"/>
      <c r="C16" s="8"/>
      <c r="D16" s="8"/>
      <c r="E16" s="9"/>
      <c r="F16" s="9"/>
      <c r="G16" s="9"/>
      <c r="H16" s="9"/>
      <c r="I16" s="9"/>
      <c r="J16" s="9"/>
    </row>
    <row r="17" ht="42" customHeight="1" spans="1:10" x14ac:dyDescent="0.25">
      <c r="A17" s="8" t="s">
        <v>147</v>
      </c>
      <c r="B17" s="8"/>
      <c r="C17" s="8"/>
      <c r="D17" s="8"/>
      <c r="E17" s="9"/>
      <c r="F17" s="9"/>
      <c r="G17" s="9"/>
      <c r="H17" s="9"/>
      <c r="I17" s="9"/>
      <c r="J17" s="9"/>
    </row>
    <row r="18" ht="42" customHeight="1" spans="1:10" x14ac:dyDescent="0.25">
      <c r="A18" s="8" t="s">
        <v>148</v>
      </c>
      <c r="B18" s="8"/>
      <c r="C18" s="8"/>
      <c r="D18" s="8"/>
      <c r="E18" s="9"/>
      <c r="F18" s="9"/>
      <c r="G18" s="9"/>
      <c r="H18" s="9"/>
      <c r="I18" s="9"/>
      <c r="J18" s="9"/>
    </row>
    <row r="19" ht="42" customHeight="1" spans="1:10" x14ac:dyDescent="0.25">
      <c r="A19" s="8" t="s">
        <v>149</v>
      </c>
      <c r="B19" s="8"/>
      <c r="C19" s="8"/>
      <c r="D19" s="8"/>
      <c r="E19" s="9"/>
      <c r="F19" s="9"/>
      <c r="G19" s="9"/>
      <c r="H19" s="9"/>
      <c r="I19" s="9"/>
      <c r="J19" s="9"/>
    </row>
    <row r="20" ht="42" customHeight="1" spans="1:10" x14ac:dyDescent="0.25">
      <c r="A20" s="8" t="s">
        <v>150</v>
      </c>
      <c r="B20" s="8"/>
      <c r="C20" s="8"/>
      <c r="D20" s="8"/>
      <c r="E20" s="9"/>
      <c r="F20" s="9"/>
      <c r="G20" s="9"/>
      <c r="H20" s="9"/>
      <c r="I20" s="9"/>
      <c r="J20" s="9"/>
    </row>
    <row r="21" ht="42" customHeight="1" spans="1:10" x14ac:dyDescent="0.25">
      <c r="A21" s="8" t="s">
        <v>151</v>
      </c>
      <c r="B21" s="8"/>
      <c r="C21" s="8"/>
      <c r="D21" s="8"/>
      <c r="E21" s="9"/>
      <c r="F21" s="9"/>
      <c r="G21" s="9"/>
      <c r="H21" s="9"/>
      <c r="I21" s="9"/>
      <c r="J21" s="9"/>
    </row>
    <row r="22" ht="42" customHeight="1" spans="1:10" x14ac:dyDescent="0.25">
      <c r="A22" s="8" t="s">
        <v>152</v>
      </c>
      <c r="B22" s="8"/>
      <c r="C22" s="8"/>
      <c r="D22" s="8"/>
      <c r="E22" s="9"/>
      <c r="F22" s="9"/>
      <c r="G22" s="9"/>
      <c r="H22" s="9"/>
      <c r="I22" s="9"/>
      <c r="J22" s="9"/>
    </row>
    <row r="23" ht="42" customHeight="1" spans="1:10" x14ac:dyDescent="0.25">
      <c r="A23" s="8" t="s">
        <v>153</v>
      </c>
      <c r="B23" s="8"/>
      <c r="C23" s="8"/>
      <c r="D23" s="8"/>
      <c r="E23" s="9"/>
      <c r="F23" s="9"/>
      <c r="G23" s="9"/>
      <c r="H23" s="9"/>
      <c r="I23" s="9"/>
      <c r="J23" s="9"/>
    </row>
    <row r="24" ht="42" customHeight="1" spans="1:10" x14ac:dyDescent="0.25">
      <c r="A24" s="8" t="s">
        <v>154</v>
      </c>
      <c r="B24" s="8"/>
      <c r="C24" s="8"/>
      <c r="D24" s="8"/>
      <c r="E24" s="9"/>
      <c r="F24" s="9"/>
      <c r="G24" s="9"/>
      <c r="H24" s="9"/>
      <c r="I24" s="9"/>
      <c r="J24" s="9"/>
    </row>
    <row r="25" ht="42" customHeight="1" spans="1:10" x14ac:dyDescent="0.25">
      <c r="A25" s="8" t="s">
        <v>155</v>
      </c>
      <c r="B25" s="8"/>
      <c r="C25" s="8"/>
      <c r="D25" s="8"/>
      <c r="E25" s="9"/>
      <c r="F25" s="9"/>
      <c r="G25" s="9"/>
      <c r="H25" s="9"/>
      <c r="I25" s="9"/>
      <c r="J25" s="9"/>
    </row>
    <row r="26" ht="42" customHeight="1" spans="1:10" x14ac:dyDescent="0.25">
      <c r="A26" s="8" t="s">
        <v>156</v>
      </c>
      <c r="B26" s="8"/>
      <c r="C26" s="8"/>
      <c r="D26" s="8"/>
      <c r="E26" s="9"/>
      <c r="F26" s="9"/>
      <c r="G26" s="9"/>
      <c r="H26" s="9"/>
      <c r="I26" s="9"/>
      <c r="J26" s="9"/>
    </row>
    <row r="27" ht="42" customHeight="1" spans="1:10" x14ac:dyDescent="0.25">
      <c r="A27" s="8" t="s">
        <v>157</v>
      </c>
      <c r="B27" s="8"/>
      <c r="C27" s="8"/>
      <c r="D27" s="8"/>
      <c r="E27" s="9"/>
      <c r="F27" s="9"/>
      <c r="G27" s="9"/>
      <c r="H27" s="9"/>
      <c r="I27" s="9"/>
      <c r="J27" s="9"/>
    </row>
    <row r="28" ht="42" customHeight="1" spans="1:10" x14ac:dyDescent="0.25">
      <c r="A28" s="8" t="s">
        <v>158</v>
      </c>
      <c r="B28" s="8"/>
      <c r="C28" s="8"/>
      <c r="D28" s="8"/>
      <c r="E28" s="9"/>
      <c r="F28" s="9"/>
      <c r="G28" s="9"/>
      <c r="H28" s="9"/>
      <c r="I28" s="9"/>
      <c r="J28" s="9"/>
    </row>
    <row r="29" ht="42" customHeight="1" spans="1:10" x14ac:dyDescent="0.25">
      <c r="A29" s="8" t="s">
        <v>159</v>
      </c>
      <c r="B29" s="8"/>
      <c r="C29" s="8"/>
      <c r="D29" s="8"/>
      <c r="E29" s="9"/>
      <c r="F29" s="9"/>
      <c r="G29" s="9"/>
      <c r="H29" s="9"/>
      <c r="I29" s="9"/>
      <c r="J29" s="9"/>
    </row>
  </sheetData>
  <dataValidations count="6">
    <dataValidation type="list" allowBlank="1" sqref="G10:G29">
      <formula1>"in Ordnung,Abweichung,Wissenslücke,nicht geprüft"</formula1>
      <formula2>0</formula2>
    </dataValidation>
    <dataValidation type="list" allowBlank="1" sqref="G5:G29">
      <formula1>"in Ordnung,Abweichung,Wissenslücke,nicht geprüft"</formula1>
      <formula2>0</formula2>
    </dataValidation>
    <dataValidation type="list" allowBlank="1" sqref="H10:H29">
      <formula1>"1 Zulässigkeit,2 Richtigkeit,3 Nachvollziehbarkeit,4 Vollständigkeit,5 Verständlichkeit,6 Antwortzeit,-"</formula1>
      <formula2>0</formula2>
    </dataValidation>
    <dataValidation type="list" allowBlank="1" sqref="H5:H29">
      <formula1>"1 Zulässigkeit,2 Richtigkeit,3 Nachvollziehbarkeit,4 Vollständigkeit,5 Verständlichkeit,6 Antwortzeit,-"</formula1>
      <formula2>0</formula2>
    </dataValidation>
    <dataValidation type="list" allowBlank="1" sqref="I10:I29">
      <formula1>"blockierend,störend,kosmetisch,-"</formula1>
      <formula2>0</formula2>
    </dataValidation>
    <dataValidation type="list" allowBlank="1" sqref="I5:I29">
      <formula1>"blockierend,störend,kosmetisch,-"</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16"/>
  <sheetViews>
    <sheetView workbookViewId="0" showGridLines="0" zoomScale="100" zoomScaleNormal="100">
      <selection activeCell="C6" sqref="C6"/>
    </sheetView>
  </sheetViews>
  <sheetFormatPr defaultRowHeight="14.5" outlineLevelRow="0" outlineLevelCol="0" x14ac:dyDescent="0.35" defaultColWidth="8.6328125" customHeight="1"/>
  <cols>
    <col min="1" max="1" width="4" customWidth="1"/>
    <col min="2" max="2" width="34" customWidth="1"/>
    <col min="3" max="5" width="16" customWidth="1"/>
  </cols>
  <sheetData>
    <row r="2" ht="18.5" customHeight="1" spans="2:2" x14ac:dyDescent="0.25">
      <c r="B2" s="1" t="s">
        <v>160</v>
      </c>
    </row>
    <row r="3" spans="2:2" x14ac:dyDescent="0.25">
      <c r="B3" s="2" t="s">
        <v>161</v>
      </c>
    </row>
    <row r="5" spans="2:5" x14ac:dyDescent="0.25">
      <c r="B5" s="10"/>
      <c r="C5" s="10" t="s">
        <v>32</v>
      </c>
      <c r="D5" s="10" t="s">
        <v>133</v>
      </c>
      <c r="E5" s="10" t="s">
        <v>162</v>
      </c>
    </row>
    <row r="6" spans="2:5" x14ac:dyDescent="0.25">
      <c r="B6" s="11" t="s">
        <v>163</v>
      </c>
      <c r="C6" s="12">
        <f>COUNTA(Pflichtthemen!$F$5:$F$26)</f>
        <v>0</v>
      </c>
      <c r="D6" s="12">
        <f>COUNTA('Eigene Tests'!$F$5:$F$29)</f>
        <v>0</v>
      </c>
      <c r="E6" s="13">
        <f>C6+D6</f>
        <v>0</v>
      </c>
    </row>
    <row r="7" spans="2:5" x14ac:dyDescent="0.25">
      <c r="B7" s="11" t="s">
        <v>164</v>
      </c>
      <c r="C7" s="12">
        <f>COUNTIF(Pflichtthemen!$G$5:$G$26,"in Ordnung")</f>
        <v>0</v>
      </c>
      <c r="D7" s="12">
        <f>COUNTIF('Eigene Tests'!$G$5:$G$29,"in Ordnung")</f>
        <v>0</v>
      </c>
      <c r="E7" s="13">
        <f>C7+D7</f>
        <v>0</v>
      </c>
    </row>
    <row r="8" spans="2:5" x14ac:dyDescent="0.25">
      <c r="B8" s="11" t="s">
        <v>165</v>
      </c>
      <c r="C8" s="12">
        <f>COUNTIF(Pflichtthemen!$G$5:$G$26,"Abweichung")</f>
        <v>0</v>
      </c>
      <c r="D8" s="12">
        <f>COUNTIF('Eigene Tests'!$G$5:$G$29,"Abweichung")</f>
        <v>0</v>
      </c>
      <c r="E8" s="13">
        <f>C8+D8</f>
        <v>0</v>
      </c>
    </row>
    <row r="9" spans="2:5" x14ac:dyDescent="0.25">
      <c r="B9" s="11" t="s">
        <v>166</v>
      </c>
      <c r="C9" s="12">
        <f>COUNTIF(Pflichtthemen!$G$5:$G$26,"Wissenslücke")</f>
        <v>0</v>
      </c>
      <c r="D9" s="12">
        <f>COUNTIF('Eigene Tests'!$G$5:$G$29,"Wissenslücke")</f>
        <v>0</v>
      </c>
      <c r="E9" s="13">
        <f>C9+D9</f>
        <v>0</v>
      </c>
    </row>
    <row r="10" spans="2:5" x14ac:dyDescent="0.25">
      <c r="B10" s="11" t="s">
        <v>167</v>
      </c>
      <c r="C10" s="12">
        <f>COUNTIF(Pflichtthemen!$G$5:$G$26,"nicht geprüft")</f>
        <v>0</v>
      </c>
      <c r="D10" s="12">
        <f>COUNTIF('Eigene Tests'!$G$5:$G$29,"nicht geprüft")</f>
        <v>0</v>
      </c>
      <c r="E10" s="13">
        <f>C10+D10</f>
        <v>0</v>
      </c>
    </row>
    <row r="12" spans="2:5" x14ac:dyDescent="0.25">
      <c r="B12" s="11" t="s">
        <v>168</v>
      </c>
      <c r="C12" s="12">
        <f>COUNTIF(Pflichtthemen!$I$5:$I$26,"blockierend")</f>
        <v>0</v>
      </c>
      <c r="D12" s="12">
        <f>COUNTIF('Eigene Tests'!$I$5:$I$29,"blockierend")</f>
        <v>0</v>
      </c>
      <c r="E12" s="13">
        <f>C12+D12</f>
        <v>0</v>
      </c>
    </row>
    <row r="13" spans="2:5" x14ac:dyDescent="0.25">
      <c r="B13" s="11" t="s">
        <v>169</v>
      </c>
      <c r="C13" s="12">
        <f>COUNTIF(Pflichtthemen!$I$5:$I$26,"störend")</f>
        <v>0</v>
      </c>
      <c r="D13" s="12">
        <f>COUNTIF('Eigene Tests'!$I$5:$I$29,"störend")</f>
        <v>0</v>
      </c>
      <c r="E13" s="13">
        <f>C13+D13</f>
        <v>0</v>
      </c>
    </row>
    <row r="14" spans="2:5" x14ac:dyDescent="0.25">
      <c r="B14" s="11" t="s">
        <v>170</v>
      </c>
      <c r="C14" s="12">
        <f>COUNTIF(Pflichtthemen!$I$5:$I$26,"kosmetisch")</f>
        <v>0</v>
      </c>
      <c r="D14" s="12">
        <f>COUNTIF('Eigene Tests'!$I$5:$I$29,"kosmetisch")</f>
        <v>0</v>
      </c>
      <c r="E14" s="13">
        <f>C14+D14</f>
        <v>0</v>
      </c>
    </row>
    <row r="16" spans="2:2" x14ac:dyDescent="0.25">
      <c r="B16" s="14" t="s">
        <v>171</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Anleitung</vt:lpstr>
      <vt:lpstr>Pflichtthemen</vt:lpstr>
      <vt:lpstr>Eigene Tests</vt:lpstr>
      <vt:lpstr>Auswertung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Sebastian.Linges@rwg-r.de</dc:creator>
  <dc:title/>
  <dc:subject/>
  <dc:description/>
  <dc:language>en-US</dc:language>
  <cp:lastModifiedBy>Linges Sebastian</cp:lastModifiedBy>
  <dcterms:created xsi:type="dcterms:W3CDTF">2026-08-27T16:24:36Z</dcterms:created>
  <dcterms:modified xsi:type="dcterms:W3CDTF">2026-08-27T18:46:25Z</dcterms:modified>
</cp:coreProperties>
</file>